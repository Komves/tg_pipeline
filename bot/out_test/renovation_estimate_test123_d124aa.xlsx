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риалы" sheetId="1" state="visible" r:id="rId1"/>
    <sheet xmlns:r="http://schemas.openxmlformats.org/officeDocument/2006/relationships" name="Работы" sheetId="2" state="visible" r:id="rId2"/>
    <sheet xmlns:r="http://schemas.openxmlformats.org/officeDocument/2006/relationships" name="Итог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0" customWidth="1" min="4" max="4"/>
    <col width="6" customWidth="1" min="5" max="5"/>
    <col width="8" customWidth="1" min="6" max="6"/>
    <col width="11" customWidth="1" min="7" max="7"/>
  </cols>
  <sheetData>
    <row r="1">
      <c r="A1" s="1" t="inlineStr">
        <is>
          <t>Категория</t>
        </is>
      </c>
      <c r="B1" s="1" t="inlineStr">
        <is>
          <t>Позиция</t>
        </is>
      </c>
      <c r="C1" s="1" t="inlineStr">
        <is>
          <t>Количество</t>
        </is>
      </c>
      <c r="D1" s="1" t="inlineStr">
        <is>
          <t>Ед.</t>
        </is>
      </c>
      <c r="E1" s="1" t="inlineStr">
        <is>
          <t>Цена</t>
        </is>
      </c>
      <c r="F1" s="1" t="inlineStr">
        <is>
          <t>Итого</t>
        </is>
      </c>
      <c r="G1" s="1" t="inlineStr">
        <is>
          <t>Источник</t>
        </is>
      </c>
    </row>
    <row r="2">
      <c r="A2" t="inlineStr">
        <is>
          <t>Напольное покрытие</t>
        </is>
      </c>
      <c r="B2" t="inlineStr">
        <is>
          <t>Напольное покрытие</t>
        </is>
      </c>
      <c r="C2" t="n">
        <v>38.9</v>
      </c>
      <c r="D2" t="inlineStr">
        <is>
          <t>м²</t>
        </is>
      </c>
      <c r="E2" t="n">
        <v>356</v>
      </c>
      <c r="F2">
        <f>C2*E2</f>
        <v/>
      </c>
      <c r="G2" t="inlineStr">
        <is>
          <t>Ламинат</t>
        </is>
      </c>
    </row>
    <row r="3">
      <c r="A3" t="inlineStr">
        <is>
          <t>Плитка санузла</t>
        </is>
      </c>
      <c r="B3" t="inlineStr">
        <is>
          <t>Плитка / керамогранит для санузла</t>
        </is>
      </c>
      <c r="C3" t="n">
        <v>16.7</v>
      </c>
      <c r="D3" t="inlineStr">
        <is>
          <t>м²</t>
        </is>
      </c>
      <c r="E3" t="n">
        <v>549</v>
      </c>
      <c r="F3">
        <f>C3*E3</f>
        <v/>
      </c>
      <c r="G3" t="inlineStr">
        <is>
          <t>Плитка</t>
        </is>
      </c>
    </row>
    <row r="4">
      <c r="A4" t="inlineStr">
        <is>
          <t>Плинтус</t>
        </is>
      </c>
      <c r="B4" t="inlineStr">
        <is>
          <t>Плинтус</t>
        </is>
      </c>
      <c r="C4" t="n">
        <v>35.4</v>
      </c>
      <c r="D4" t="inlineStr">
        <is>
          <t>м</t>
        </is>
      </c>
      <c r="F4" t="inlineStr"/>
      <c r="G4" t="inlineStr">
        <is>
          <t>Плинтус</t>
        </is>
      </c>
    </row>
    <row r="5">
      <c r="A5" t="inlineStr">
        <is>
          <t>Грунтовка</t>
        </is>
      </c>
      <c r="B5" t="inlineStr">
        <is>
          <t>Грунтовка</t>
        </is>
      </c>
      <c r="C5" t="n">
        <v>1</v>
      </c>
      <c r="D5" t="inlineStr">
        <is>
          <t>канистра</t>
        </is>
      </c>
      <c r="E5" t="n">
        <v>575</v>
      </c>
      <c r="F5">
        <f>C5*E5</f>
        <v/>
      </c>
      <c r="G5" t="inlineStr">
        <is>
          <t>Грунтовка</t>
        </is>
      </c>
    </row>
    <row r="6">
      <c r="A6" t="inlineStr">
        <is>
          <t>Шпаклёвка</t>
        </is>
      </c>
      <c r="B6" t="inlineStr">
        <is>
          <t>Шпаклёвка</t>
        </is>
      </c>
      <c r="C6" t="n">
        <v>6</v>
      </c>
      <c r="D6" t="inlineStr">
        <is>
          <t>мешок</t>
        </is>
      </c>
      <c r="E6" t="n">
        <v>419</v>
      </c>
      <c r="F6">
        <f>C6*E6</f>
        <v/>
      </c>
      <c r="G6" t="inlineStr">
        <is>
          <t>Шпаклёвка</t>
        </is>
      </c>
    </row>
    <row r="7">
      <c r="A7" t="inlineStr">
        <is>
          <t>Краска / обои</t>
        </is>
      </c>
      <c r="B7" t="inlineStr">
        <is>
          <t>Краска / обои</t>
        </is>
      </c>
      <c r="C7" t="n">
        <v>125</v>
      </c>
      <c r="D7" t="inlineStr">
        <is>
          <t>м²</t>
        </is>
      </c>
      <c r="E7" t="n">
        <v>639</v>
      </c>
      <c r="F7">
        <f>C7*E7</f>
        <v/>
      </c>
      <c r="G7" t="inlineStr">
        <is>
          <t>Краска</t>
        </is>
      </c>
    </row>
    <row r="8">
      <c r="A8" t="inlineStr">
        <is>
          <t>Ровнитель / смеси</t>
        </is>
      </c>
      <c r="B8" t="inlineStr">
        <is>
          <t>Черновые смеси и расходники</t>
        </is>
      </c>
      <c r="C8" t="n">
        <v>2</v>
      </c>
      <c r="D8" t="inlineStr">
        <is>
          <t>мешок</t>
        </is>
      </c>
      <c r="E8" t="n">
        <v>557</v>
      </c>
      <c r="F8">
        <f>C8*E8</f>
        <v/>
      </c>
      <c r="G8" t="inlineStr">
        <is>
          <t>Ровнитель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6" customWidth="1" min="3" max="3"/>
    <col width="8" customWidth="1" min="4" max="4"/>
    <col width="7" customWidth="1" min="5" max="5"/>
  </cols>
  <sheetData>
    <row r="1">
      <c r="A1" s="1" t="inlineStr">
        <is>
          <t>Позиция</t>
        </is>
      </c>
      <c r="B1" s="1" t="inlineStr">
        <is>
          <t>Объем</t>
        </is>
      </c>
      <c r="C1" s="1" t="inlineStr">
        <is>
          <t>Ед.</t>
        </is>
      </c>
      <c r="D1" s="1" t="inlineStr">
        <is>
          <t>Ставка</t>
        </is>
      </c>
      <c r="E1" s="1" t="inlineStr">
        <is>
          <t>Итого</t>
        </is>
      </c>
    </row>
    <row r="2">
      <c r="A2" t="inlineStr">
        <is>
          <t>Выравнивание пола</t>
        </is>
      </c>
      <c r="B2" t="n">
        <v>42.1</v>
      </c>
      <c r="C2" t="inlineStr">
        <is>
          <t>м²</t>
        </is>
      </c>
      <c r="D2" t="n">
        <v>1150</v>
      </c>
      <c r="E2" t="n">
        <v>48415</v>
      </c>
    </row>
    <row r="3">
      <c r="A3" t="inlineStr">
        <is>
          <t>Укладка ламината</t>
        </is>
      </c>
      <c r="B3" t="n">
        <v>36</v>
      </c>
      <c r="C3" t="inlineStr">
        <is>
          <t>м²</t>
        </is>
      </c>
      <c r="D3" t="n">
        <v>325</v>
      </c>
      <c r="E3" t="n">
        <v>11700</v>
      </c>
    </row>
    <row r="4">
      <c r="A4" t="inlineStr">
        <is>
          <t>Укладка плитки</t>
        </is>
      </c>
      <c r="B4" t="n">
        <v>15.2</v>
      </c>
      <c r="C4" t="inlineStr">
        <is>
          <t>м²</t>
        </is>
      </c>
      <c r="D4" t="n">
        <v>1700</v>
      </c>
      <c r="E4" t="n">
        <v>25840</v>
      </c>
    </row>
    <row r="5">
      <c r="A5" t="inlineStr">
        <is>
          <t>Грунтовка стен</t>
        </is>
      </c>
      <c r="B5" t="n">
        <v>125</v>
      </c>
      <c r="C5" t="inlineStr">
        <is>
          <t>м²</t>
        </is>
      </c>
      <c r="D5" t="n">
        <v>350</v>
      </c>
      <c r="E5" t="n">
        <v>43750</v>
      </c>
    </row>
    <row r="6">
      <c r="A6" t="inlineStr">
        <is>
          <t>Шпаклевка стен</t>
        </is>
      </c>
      <c r="B6" t="n">
        <v>125</v>
      </c>
      <c r="C6" t="inlineStr">
        <is>
          <t>м²</t>
        </is>
      </c>
      <c r="D6" t="n">
        <v>400</v>
      </c>
      <c r="E6" t="n">
        <v>50000</v>
      </c>
    </row>
    <row r="7">
      <c r="A7" t="inlineStr">
        <is>
          <t>Покраска стен</t>
        </is>
      </c>
      <c r="B7" t="n">
        <v>125</v>
      </c>
      <c r="C7" t="inlineStr">
        <is>
          <t>м²</t>
        </is>
      </c>
      <c r="D7" t="n">
        <v>250</v>
      </c>
      <c r="E7" t="n">
        <v>31250</v>
      </c>
    </row>
    <row r="8">
      <c r="A8" t="inlineStr">
        <is>
          <t>Монтаж плинтуса</t>
        </is>
      </c>
      <c r="B8" t="n">
        <v>33.7</v>
      </c>
      <c r="C8" t="inlineStr">
        <is>
          <t>м.п.</t>
        </is>
      </c>
      <c r="D8" t="n">
        <v>300</v>
      </c>
      <c r="E8" t="n">
        <v>10110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t="inlineStr">
        <is>
          <t>Материалы</t>
        </is>
      </c>
      <c r="B2">
        <f>SUM(Материалы!F2:F999)</f>
        <v/>
      </c>
    </row>
    <row r="3">
      <c r="A3" t="inlineStr">
        <is>
          <t>Работы</t>
        </is>
      </c>
      <c r="B3">
        <f>SUM(Работы!E2:E999)</f>
        <v/>
      </c>
    </row>
    <row r="4">
      <c r="A4" t="inlineStr">
        <is>
          <t>Общий итог</t>
        </is>
      </c>
      <c r="B4">
        <f>B2+B3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2026-05-15T07:49:38Z</dcterms:created>
  <dcterms:modified xmlns:dcterms="http://purl.org/dc/terms/" xmlns:xsi="http://www.w3.org/2001/XMLSchema-instance" xsi:type="dcterms:W3CDTF">2026-05-15T07:49:38Z</dcterms:modified>
</cp:coreProperties>
</file>